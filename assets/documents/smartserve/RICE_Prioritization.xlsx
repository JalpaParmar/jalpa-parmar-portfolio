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77509dff74b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CE Prioritization" sheetId="1" r:id="Race628c7329547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%"/>
    <x:numFmt numFmtId="201" formatCode="0.0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D94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0c82fb112745f4" /><Relationship Type="http://schemas.openxmlformats.org/officeDocument/2006/relationships/theme" Target="/xl/theme/theme1.xml" Id="Rf0b7a8f78ea64b90" /><Relationship Type="http://schemas.openxmlformats.org/officeDocument/2006/relationships/sharedStrings" Target="/xl/sharedStrings.xml" Id="Rf4d00c8627c74467" /><Relationship Type="http://schemas.openxmlformats.org/officeDocument/2006/relationships/worksheet" Target="/xl/worksheets/sheet1.xml" Id="Race628c7329547e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2" hidden="0" customWidth="1"/>
    <x:col min="3" max="3" width="12" hidden="0" customWidth="1"/>
    <x:col min="4" max="4" width="15" hidden="0" customWidth="1"/>
    <x:col min="5" max="5" width="12" hidden="0" customWidth="1"/>
    <x:col min="6" max="6" width="17" hidden="0" customWidth="1"/>
    <x:col min="7" max="7" width="38" hidden="0" customWidth="1"/>
  </x:cols>
  <x:sheetData>
    <x:row r="1">
      <x:c r="A1" s="8" t="str">
        <x:v>Feature</x:v>
      </x:c>
      <x:c r="B1" s="8" t="str">
        <x:v>Reach</x:v>
      </x:c>
      <x:c r="C1" s="8" t="str">
        <x:v>Impact</x:v>
      </x:c>
      <x:c r="D1" s="8" t="str">
        <x:v>Confidence</x:v>
      </x:c>
      <x:c r="E1" s="8" t="str">
        <x:v>Effort</x:v>
      </x:c>
      <x:c r="F1" s="8" t="str">
        <x:v>RICE Score</x:v>
      </x:c>
      <x:c r="G1" s="8" t="str">
        <x:v>Decision / Notes</x:v>
      </x:c>
    </x:row>
    <x:row r="2" ht="30" customHeight="1">
      <x:c r="A2" s="9" t="str">
        <x:v>Request capture</x:v>
      </x:c>
      <x:c r="B2" s="9" t="n">
        <x:v>80</x:v>
      </x:c>
      <x:c r="C2" s="9" t="n">
        <x:v>2</x:v>
      </x:c>
      <x:c r="D2" s="10" t="n">
        <x:v>0.85</x:v>
      </x:c>
      <x:c r="E2" s="9" t="n">
        <x:v>3</x:v>
      </x:c>
      <x:c r="F2" s="11" t="n">
        <x:f>IFERROR(B2*C2*D2/E2,0)</x:f>
        <x:v>45.333333333333336</x:v>
      </x:c>
      <x:c r="G2" s="9" t="str">
        <x:v>Now: essential entry point</x:v>
      </x:c>
    </x:row>
    <x:row r="3" ht="30" customHeight="1">
      <x:c r="A3" s="9" t="str">
        <x:v>Coordinator queue</x:v>
      </x:c>
      <x:c r="B3" s="9" t="n">
        <x:v>60</x:v>
      </x:c>
      <x:c r="C3" s="9" t="n">
        <x:v>3</x:v>
      </x:c>
      <x:c r="D3" s="10" t="n">
        <x:v>0.8</x:v>
      </x:c>
      <x:c r="E3" s="9" t="n">
        <x:v>4</x:v>
      </x:c>
      <x:c r="F3" s="11" t="n">
        <x:f>IFERROR(B3*C3*D3/E3,0)</x:f>
        <x:v>36</x:v>
      </x:c>
      <x:c r="G3" s="9" t="str">
        <x:v>Now: ownership visibility</x:v>
      </x:c>
    </x:row>
    <x:row r="4" ht="30" customHeight="1">
      <x:c r="A4" s="9" t="str">
        <x:v>Customer confirmation</x:v>
      </x:c>
      <x:c r="B4" s="9" t="n">
        <x:v>70</x:v>
      </x:c>
      <x:c r="C4" s="9" t="n">
        <x:v>2</x:v>
      </x:c>
      <x:c r="D4" s="10" t="n">
        <x:v>0.75</x:v>
      </x:c>
      <x:c r="E4" s="9" t="n">
        <x:v>3</x:v>
      </x:c>
      <x:c r="F4" s="11" t="n">
        <x:f>IFERROR(B4*C4*D4/E4,0)</x:f>
        <x:v>35</x:v>
      </x:c>
      <x:c r="G4" s="9" t="str">
        <x:v>Now: closes the handoff</x:v>
      </x:c>
    </x:row>
    <x:row r="5" ht="30" customHeight="1">
      <x:c r="A5" s="9" t="str">
        <x:v>Message templates</x:v>
      </x:c>
      <x:c r="B5" s="9" t="n">
        <x:v>55</x:v>
      </x:c>
      <x:c r="C5" s="9" t="n">
        <x:v>1.5</x:v>
      </x:c>
      <x:c r="D5" s="10" t="n">
        <x:v>0.7</x:v>
      </x:c>
      <x:c r="E5" s="9" t="n">
        <x:v>4</x:v>
      </x:c>
      <x:c r="F5" s="11" t="n">
        <x:f>IFERROR(B5*C5*D5/E5,0)</x:f>
        <x:v>14.437499999999998</x:v>
      </x:c>
      <x:c r="G5" s="9" t="str">
        <x:v>Next: validate repeat effort</x:v>
      </x:c>
    </x:row>
    <x:row r="6" ht="30" customHeight="1">
      <x:c r="A6" s="9" t="str">
        <x:v>Request history</x:v>
      </x:c>
      <x:c r="B6" s="9" t="n">
        <x:v>45</x:v>
      </x:c>
      <x:c r="C6" s="9" t="n">
        <x:v>1</x:v>
      </x:c>
      <x:c r="D6" s="10" t="n">
        <x:v>0.65</x:v>
      </x:c>
      <x:c r="E6" s="9" t="n">
        <x:v>3</x:v>
      </x:c>
      <x:c r="F6" s="11" t="n">
        <x:f>IFERROR(B6*C6*D6/E6,0)</x:f>
        <x:v>9.75</x:v>
      </x:c>
      <x:c r="G6" s="9" t="str">
        <x:v>Next: check recall need</x:v>
      </x:c>
    </x:row>
    <x:row r="7" ht="30" customHeight="1">
      <x:c r="A7" s="9" t="str">
        <x:v>Calendar integration</x:v>
      </x:c>
      <x:c r="B7" s="9" t="n">
        <x:v>35</x:v>
      </x:c>
      <x:c r="C7" s="9" t="n">
        <x:v>2</x:v>
      </x:c>
      <x:c r="D7" s="10" t="n">
        <x:v>0.45</x:v>
      </x:c>
      <x:c r="E7" s="9" t="n">
        <x:v>8</x:v>
      </x:c>
      <x:c r="F7" s="11" t="n">
        <x:f>IFERROR(B7*C7*D7/E7,0)</x:f>
        <x:v>3.9375</x:v>
      </x:c>
      <x:c r="G7" s="9" t="str">
        <x:v>Later: validate value and complexity</x:v>
      </x:c>
    </x:row>
    <x:row r="8">
      <x:c r="A8" s="12"/>
      <x:c r="B8" s="12"/>
      <x:c r="C8" s="12"/>
      <x:c r="D8" s="12"/>
      <x:c r="E8" s="12"/>
      <x:c r="F8" s="12"/>
      <x:c r="G8" s="12"/>
    </x:row>
    <x:row r="9">
      <x:c r="A9" s="12" t="str">
        <x:v>All figures are illustrative assumptions; validate with users before committing.</x:v>
      </x:c>
      <x:c r="B9" s="12"/>
      <x:c r="C9" s="12"/>
      <x:c r="D9" s="12"/>
      <x:c r="E9" s="12"/>
      <x:c r="F9" s="12"/>
      <x:c r="G9" s="12"/>
    </x:row>
  </x:sheetData>
  <x:pageMargins left="0.7" right="0.7" top="0.75" bottom="0.75" header="0.3" footer="0.3"/>
</x:worksheet>
</file>